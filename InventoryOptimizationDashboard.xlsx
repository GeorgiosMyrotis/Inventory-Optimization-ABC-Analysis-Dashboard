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ventory Data &amp;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€#,##0.00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3" fillId="0" borderId="2" applyAlignment="1" pivotButton="0" quotePrefix="0" xfId="0">
      <alignment horizontal="center"/>
    </xf>
    <xf numFmtId="0" fontId="3" fillId="0" borderId="2" pivotButton="0" quotePrefix="0" xfId="0"/>
    <xf numFmtId="164" fontId="3" fillId="0" borderId="2" pivotButton="0" quotePrefix="0" xfId="0"/>
    <xf numFmtId="165" fontId="3" fillId="0" borderId="2" pivotButton="0" quotePrefix="0" xfId="0"/>
    <xf numFmtId="0" fontId="0" fillId="0" borderId="2" applyAlignment="1" pivotButton="0" quotePrefix="0" xfId="0">
      <alignment horizontal="center"/>
    </xf>
    <xf numFmtId="1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3" fontId="5" fillId="0" borderId="1" pivotButton="0" quotePrefix="0" xfId="0"/>
    <xf numFmtId="2" fontId="5" fillId="0" borderId="1" pivotButton="0" quotePrefix="0" xfId="0"/>
    <xf numFmtId="0" fontId="0" fillId="0" borderId="2" pivotButton="0" quotePrefix="0" xfId="0"/>
    <xf numFmtId="3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5" customWidth="1" min="4" max="4"/>
    <col width="18" customWidth="1" min="5" max="5"/>
    <col width="14" customWidth="1" min="6" max="6"/>
  </cols>
  <sheetData>
    <row r="1">
      <c r="A1" s="1" t="inlineStr">
        <is>
          <t>Inventory Optimization &amp; ABC Analysis Dashboard</t>
        </is>
      </c>
    </row>
    <row r="2">
      <c r="A2" s="2" t="inlineStr">
        <is>
          <t>Executive Summary &amp; Key Performance Indicators (KPIs)</t>
        </is>
      </c>
    </row>
    <row r="3"/>
    <row r="4">
      <c r="A4" s="3" t="inlineStr">
        <is>
          <t>ABC Class Summary</t>
        </is>
      </c>
    </row>
    <row r="5">
      <c r="A5" s="4" t="inlineStr">
        <is>
          <t>ABC Class</t>
        </is>
      </c>
      <c r="B5" s="4" t="inlineStr">
        <is>
          <t>SKU Count</t>
        </is>
      </c>
      <c r="C5" s="4" t="inlineStr">
        <is>
          <t>% of SKUs</t>
        </is>
      </c>
      <c r="D5" s="4" t="inlineStr">
        <is>
          <t>Total Inventory Value (€)</t>
        </is>
      </c>
      <c r="E5" s="4" t="inlineStr">
        <is>
          <t>% of Total Value</t>
        </is>
      </c>
      <c r="F5" s="4" t="inlineStr">
        <is>
          <t>Buffer Days</t>
        </is>
      </c>
    </row>
    <row r="6">
      <c r="A6" s="5" t="inlineStr">
        <is>
          <t>A</t>
        </is>
      </c>
      <c r="B6" s="6">
        <f>COUNTIF('Inventory Data &amp; Model'!H:H, "A")</f>
        <v/>
      </c>
      <c r="C6" s="7">
        <f>B6/50</f>
        <v/>
      </c>
      <c r="D6" s="8">
        <f>SUMIF('Inventory Data &amp; Model'!H:H, "A", 'Inventory Data &amp; Model'!F:F)</f>
        <v/>
      </c>
      <c r="E6" s="7">
        <f>D6/D9</f>
        <v/>
      </c>
      <c r="F6" s="5" t="n">
        <v>5</v>
      </c>
    </row>
    <row r="7">
      <c r="A7" s="5" t="inlineStr">
        <is>
          <t>B</t>
        </is>
      </c>
      <c r="B7" s="6">
        <f>COUNTIF('Inventory Data &amp; Model'!H:H, "B")</f>
        <v/>
      </c>
      <c r="C7" s="7">
        <f>B7/50</f>
        <v/>
      </c>
      <c r="D7" s="8">
        <f>SUMIF('Inventory Data &amp; Model'!H:H, "B", 'Inventory Data &amp; Model'!F:F)</f>
        <v/>
      </c>
      <c r="E7" s="7">
        <f>D7/D9</f>
        <v/>
      </c>
      <c r="F7" s="5" t="n">
        <v>3</v>
      </c>
    </row>
    <row r="8">
      <c r="A8" s="5" t="inlineStr">
        <is>
          <t>C</t>
        </is>
      </c>
      <c r="B8" s="6">
        <f>COUNTIF('Inventory Data &amp; Model'!H:H, "C")</f>
        <v/>
      </c>
      <c r="C8" s="7">
        <f>B8/50</f>
        <v/>
      </c>
      <c r="D8" s="8">
        <f>SUMIF('Inventory Data &amp; Model'!H:H, "C", 'Inventory Data &amp; Model'!F:F)</f>
        <v/>
      </c>
      <c r="E8" s="7">
        <f>D8/D9</f>
        <v/>
      </c>
      <c r="F8" s="5" t="n">
        <v>2</v>
      </c>
    </row>
    <row r="9">
      <c r="A9" s="9" t="inlineStr">
        <is>
          <t>Total</t>
        </is>
      </c>
      <c r="B9" s="10">
        <f>SUM(B6:B8)</f>
        <v/>
      </c>
      <c r="C9" s="11">
        <f>SUM(C6:C8)</f>
        <v/>
      </c>
      <c r="D9" s="12">
        <f>SUM(D6:D8)</f>
        <v/>
      </c>
      <c r="E9" s="11">
        <f>SUM(E6:E8)</f>
        <v/>
      </c>
      <c r="F9" s="13" t="inlineStr">
        <is>
          <t>-</t>
        </is>
      </c>
    </row>
    <row r="10"/>
    <row r="11"/>
    <row r="12">
      <c r="A12" s="3" t="inlineStr">
        <is>
          <t>Key Metrics Overview</t>
        </is>
      </c>
    </row>
    <row r="13">
      <c r="A13" s="6" t="inlineStr">
        <is>
          <t>Total Portfolio SKUs</t>
        </is>
      </c>
      <c r="B13" s="14">
        <f>50</f>
        <v/>
      </c>
    </row>
    <row r="14">
      <c r="A14" s="6" t="inlineStr">
        <is>
          <t>Total Annual Inventory Value</t>
        </is>
      </c>
      <c r="B14" s="15">
        <f>SUM('Inventory Data &amp; Model'!F2:F51)</f>
        <v/>
      </c>
    </row>
    <row r="15">
      <c r="A15" s="6" t="inlineStr">
        <is>
          <t>Total Safety Stock Units</t>
        </is>
      </c>
      <c r="B15" s="16">
        <f>SUM('Inventory Data &amp; Model'!L2:L51)</f>
        <v/>
      </c>
    </row>
    <row r="16">
      <c r="A16" s="6" t="inlineStr">
        <is>
          <t>Average Lead Time (Days)</t>
        </is>
      </c>
      <c r="B16" s="17">
        <f>AVERAGE('Inventory Data &amp; Model'!I2:I51)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0" customWidth="1" min="3" max="3"/>
    <col width="17" customWidth="1" min="4" max="4"/>
    <col width="17" customWidth="1" min="5" max="5"/>
    <col width="30" customWidth="1" min="6" max="6"/>
    <col width="20" customWidth="1" min="7" max="7"/>
    <col width="48" customWidth="1" min="8" max="8"/>
    <col width="20" customWidth="1" min="9" max="9"/>
    <col width="20" customWidth="1" min="10" max="10"/>
    <col width="38" customWidth="1" min="11" max="11"/>
    <col width="24" customWidth="1" min="12" max="12"/>
    <col width="30" customWidth="1" min="13" max="13"/>
  </cols>
  <sheetData>
    <row r="1">
      <c r="A1" s="18" t="inlineStr">
        <is>
          <t>SKU</t>
        </is>
      </c>
      <c r="B1" s="18" t="inlineStr">
        <is>
          <t>Product Name</t>
        </is>
      </c>
      <c r="C1" s="18" t="inlineStr">
        <is>
          <t>Category</t>
        </is>
      </c>
      <c r="D1" s="18" t="inlineStr">
        <is>
          <t>Annual Demand</t>
        </is>
      </c>
      <c r="E1" s="18" t="inlineStr">
        <is>
          <t>Unit Cost (€)</t>
        </is>
      </c>
      <c r="F1" s="18" t="inlineStr">
        <is>
          <t>Annual Inventory Value (€)</t>
        </is>
      </c>
      <c r="G1" s="18" t="inlineStr">
        <is>
          <t>Cumulative %</t>
        </is>
      </c>
      <c r="H1" s="18" t="inlineStr">
        <is>
          <t>ABC Class</t>
        </is>
      </c>
      <c r="I1" s="18" t="inlineStr">
        <is>
          <t>Lead Time (Days)</t>
        </is>
      </c>
      <c r="J1" s="18" t="inlineStr">
        <is>
          <t>Avg Daily Demand</t>
        </is>
      </c>
      <c r="K1" s="18" t="inlineStr">
        <is>
          <t>Safety Stock (Days)</t>
        </is>
      </c>
      <c r="L1" s="18" t="inlineStr">
        <is>
          <t>Safety Stock (Units)</t>
        </is>
      </c>
      <c r="M1" s="18" t="inlineStr">
        <is>
          <t>Reorder Point (ROP)</t>
        </is>
      </c>
    </row>
    <row r="2">
      <c r="A2" s="5" t="inlineStr">
        <is>
          <t>SKU-006</t>
        </is>
      </c>
      <c r="B2" s="6" t="inlineStr">
        <is>
          <t>Laser Printer</t>
        </is>
      </c>
      <c r="C2" s="5" t="inlineStr">
        <is>
          <t>Packaging</t>
        </is>
      </c>
      <c r="D2" s="19" t="n">
        <v>3054</v>
      </c>
      <c r="E2" s="8" t="n">
        <v>186.98</v>
      </c>
      <c r="F2" s="8">
        <f>D2*E2</f>
        <v/>
      </c>
      <c r="G2" s="7">
        <f>F2/$F$51</f>
        <v/>
      </c>
      <c r="H2" s="5">
        <f>IF(G2&lt;=0.80, "A", IF(G2&lt;=0.95, "B", "C"))</f>
        <v/>
      </c>
      <c r="I2" s="5" t="n">
        <v>7</v>
      </c>
      <c r="J2" s="20">
        <f>D2/365</f>
        <v/>
      </c>
      <c r="K2" s="5">
        <f>IF(H2="A", 5, IF(H2="B", 3, 2))</f>
        <v/>
      </c>
      <c r="L2" s="19">
        <f>ROUNDUP(J2*K2, 0)</f>
        <v/>
      </c>
      <c r="M2" s="19">
        <f>ROUNDUP((J2*I2)+L2, 0)</f>
        <v/>
      </c>
    </row>
    <row r="3">
      <c r="A3" s="5" t="inlineStr">
        <is>
          <t>SKU-020</t>
        </is>
      </c>
      <c r="B3" s="6" t="inlineStr">
        <is>
          <t>Packing Tape (6pk)</t>
        </is>
      </c>
      <c r="C3" s="5" t="inlineStr">
        <is>
          <t>Electronics</t>
        </is>
      </c>
      <c r="D3" s="19" t="n">
        <v>5426</v>
      </c>
      <c r="E3" s="8" t="n">
        <v>94.18000000000001</v>
      </c>
      <c r="F3" s="8">
        <f>D3*E3</f>
        <v/>
      </c>
      <c r="G3" s="7">
        <f>G2+(F3/$F$51)</f>
        <v/>
      </c>
      <c r="H3" s="5">
        <f>IF(G3&lt;=0.80, "A", IF(G3&lt;=0.95, "B", "C"))</f>
        <v/>
      </c>
      <c r="I3" s="5" t="n">
        <v>3</v>
      </c>
      <c r="J3" s="20">
        <f>D3/365</f>
        <v/>
      </c>
      <c r="K3" s="5">
        <f>IF(H3="A", 5, IF(H3="B", 3, 2))</f>
        <v/>
      </c>
      <c r="L3" s="19">
        <f>ROUNDUP(J3*K3, 0)</f>
        <v/>
      </c>
      <c r="M3" s="19">
        <f>ROUNDUP((J3*I3)+L3, 0)</f>
        <v/>
      </c>
    </row>
    <row r="4">
      <c r="A4" s="5" t="inlineStr">
        <is>
          <t>SKU-003</t>
        </is>
      </c>
      <c r="B4" s="6" t="inlineStr">
        <is>
          <t>LED Monitor 27"</t>
        </is>
      </c>
      <c r="C4" s="5" t="inlineStr">
        <is>
          <t>Tools</t>
        </is>
      </c>
      <c r="D4" s="19" t="n">
        <v>3321</v>
      </c>
      <c r="E4" s="8" t="n">
        <v>152.86</v>
      </c>
      <c r="F4" s="8">
        <f>D4*E4</f>
        <v/>
      </c>
      <c r="G4" s="7">
        <f>G3+(F4/$F$51)</f>
        <v/>
      </c>
      <c r="H4" s="5">
        <f>IF(G4&lt;=0.80, "A", IF(G4&lt;=0.95, "B", "C"))</f>
        <v/>
      </c>
      <c r="I4" s="5" t="n">
        <v>7</v>
      </c>
      <c r="J4" s="20">
        <f>D4/365</f>
        <v/>
      </c>
      <c r="K4" s="5">
        <f>IF(H4="A", 5, IF(H4="B", 3, 2))</f>
        <v/>
      </c>
      <c r="L4" s="19">
        <f>ROUNDUP(J4*K4, 0)</f>
        <v/>
      </c>
      <c r="M4" s="19">
        <f>ROUNDUP((J4*I4)+L4, 0)</f>
        <v/>
      </c>
    </row>
    <row r="5">
      <c r="A5" s="5" t="inlineStr">
        <is>
          <t>SKU-007</t>
        </is>
      </c>
      <c r="B5" s="6" t="inlineStr">
        <is>
          <t>Ergonomic Chair</t>
        </is>
      </c>
      <c r="C5" s="5" t="inlineStr">
        <is>
          <t>Office Supplies</t>
        </is>
      </c>
      <c r="D5" s="19" t="n">
        <v>2197</v>
      </c>
      <c r="E5" s="8" t="n">
        <v>187.19</v>
      </c>
      <c r="F5" s="8">
        <f>D5*E5</f>
        <v/>
      </c>
      <c r="G5" s="7">
        <f>G4+(F5/$F$51)</f>
        <v/>
      </c>
      <c r="H5" s="5">
        <f>IF(G5&lt;=0.80, "A", IF(G5&lt;=0.95, "B", "C"))</f>
        <v/>
      </c>
      <c r="I5" s="5" t="n">
        <v>7</v>
      </c>
      <c r="J5" s="20">
        <f>D5/365</f>
        <v/>
      </c>
      <c r="K5" s="5">
        <f>IF(H5="A", 5, IF(H5="B", 3, 2))</f>
        <v/>
      </c>
      <c r="L5" s="19">
        <f>ROUNDUP(J5*K5, 0)</f>
        <v/>
      </c>
      <c r="M5" s="19">
        <f>ROUNDUP((J5*I5)+L5, 0)</f>
        <v/>
      </c>
    </row>
    <row r="6">
      <c r="A6" s="5" t="inlineStr">
        <is>
          <t>SKU-019</t>
        </is>
      </c>
      <c r="B6" s="6" t="inlineStr">
        <is>
          <t>Bubble Wrap Roll</t>
        </is>
      </c>
      <c r="C6" s="5" t="inlineStr">
        <is>
          <t>Electronics</t>
        </is>
      </c>
      <c r="D6" s="19" t="n">
        <v>5009</v>
      </c>
      <c r="E6" s="8" t="n">
        <v>78.56</v>
      </c>
      <c r="F6" s="8">
        <f>D6*E6</f>
        <v/>
      </c>
      <c r="G6" s="7">
        <f>G5+(F6/$F$51)</f>
        <v/>
      </c>
      <c r="H6" s="5">
        <f>IF(G6&lt;=0.80, "A", IF(G6&lt;=0.95, "B", "C"))</f>
        <v/>
      </c>
      <c r="I6" s="5" t="n">
        <v>14</v>
      </c>
      <c r="J6" s="20">
        <f>D6/365</f>
        <v/>
      </c>
      <c r="K6" s="5">
        <f>IF(H6="A", 5, IF(H6="B", 3, 2))</f>
        <v/>
      </c>
      <c r="L6" s="19">
        <f>ROUNDUP(J6*K6, 0)</f>
        <v/>
      </c>
      <c r="M6" s="19">
        <f>ROUNDUP((J6*I6)+L6, 0)</f>
        <v/>
      </c>
    </row>
    <row r="7">
      <c r="A7" s="5" t="inlineStr">
        <is>
          <t>SKU-008</t>
        </is>
      </c>
      <c r="B7" s="6" t="inlineStr">
        <is>
          <t>Standing Desk</t>
        </is>
      </c>
      <c r="C7" s="5" t="inlineStr">
        <is>
          <t>Packaging</t>
        </is>
      </c>
      <c r="D7" s="19" t="n">
        <v>1417</v>
      </c>
      <c r="E7" s="8" t="n">
        <v>256.26</v>
      </c>
      <c r="F7" s="8">
        <f>D7*E7</f>
        <v/>
      </c>
      <c r="G7" s="7">
        <f>G6+(F7/$F$51)</f>
        <v/>
      </c>
      <c r="H7" s="5">
        <f>IF(G7&lt;=0.80, "A", IF(G7&lt;=0.95, "B", "C"))</f>
        <v/>
      </c>
      <c r="I7" s="5" t="n">
        <v>7</v>
      </c>
      <c r="J7" s="20">
        <f>D7/365</f>
        <v/>
      </c>
      <c r="K7" s="5">
        <f>IF(H7="A", 5, IF(H7="B", 3, 2))</f>
        <v/>
      </c>
      <c r="L7" s="19">
        <f>ROUNDUP(J7*K7, 0)</f>
        <v/>
      </c>
      <c r="M7" s="19">
        <f>ROUNDUP((J7*I7)+L7, 0)</f>
        <v/>
      </c>
    </row>
    <row r="8">
      <c r="A8" s="5" t="inlineStr">
        <is>
          <t>SKU-009</t>
        </is>
      </c>
      <c r="B8" s="6" t="inlineStr">
        <is>
          <t>Whiteboard Marker Box</t>
        </is>
      </c>
      <c r="C8" s="5" t="inlineStr">
        <is>
          <t>Tools</t>
        </is>
      </c>
      <c r="D8" s="19" t="n">
        <v>4040</v>
      </c>
      <c r="E8" s="8" t="n">
        <v>84.42</v>
      </c>
      <c r="F8" s="8">
        <f>D8*E8</f>
        <v/>
      </c>
      <c r="G8" s="7">
        <f>G7+(F8/$F$51)</f>
        <v/>
      </c>
      <c r="H8" s="5">
        <f>IF(G8&lt;=0.80, "A", IF(G8&lt;=0.95, "B", "C"))</f>
        <v/>
      </c>
      <c r="I8" s="5" t="n">
        <v>3</v>
      </c>
      <c r="J8" s="20">
        <f>D8/365</f>
        <v/>
      </c>
      <c r="K8" s="5">
        <f>IF(H8="A", 5, IF(H8="B", 3, 2))</f>
        <v/>
      </c>
      <c r="L8" s="19">
        <f>ROUNDUP(J8*K8, 0)</f>
        <v/>
      </c>
      <c r="M8" s="19">
        <f>ROUNDUP((J8*I8)+L8, 0)</f>
        <v/>
      </c>
    </row>
    <row r="9">
      <c r="A9" s="5" t="inlineStr">
        <is>
          <t>SKU-010</t>
        </is>
      </c>
      <c r="B9" s="6" t="inlineStr">
        <is>
          <t>A4 Copy Paper Ream</t>
        </is>
      </c>
      <c r="C9" s="5" t="inlineStr">
        <is>
          <t>Office Supplies</t>
        </is>
      </c>
      <c r="D9" s="19" t="n">
        <v>2585</v>
      </c>
      <c r="E9" s="8" t="n">
        <v>105.38</v>
      </c>
      <c r="F9" s="8">
        <f>D9*E9</f>
        <v/>
      </c>
      <c r="G9" s="7">
        <f>G8+(F9/$F$51)</f>
        <v/>
      </c>
      <c r="H9" s="5">
        <f>IF(G9&lt;=0.80, "A", IF(G9&lt;=0.95, "B", "C"))</f>
        <v/>
      </c>
      <c r="I9" s="5" t="n">
        <v>5</v>
      </c>
      <c r="J9" s="20">
        <f>D9/365</f>
        <v/>
      </c>
      <c r="K9" s="5">
        <f>IF(H9="A", 5, IF(H9="B", 3, 2))</f>
        <v/>
      </c>
      <c r="L9" s="19">
        <f>ROUNDUP(J9*K9, 0)</f>
        <v/>
      </c>
      <c r="M9" s="19">
        <f>ROUNDUP((J9*I9)+L9, 0)</f>
        <v/>
      </c>
    </row>
    <row r="10">
      <c r="A10" s="5" t="inlineStr">
        <is>
          <t>SKU-004</t>
        </is>
      </c>
      <c r="B10" s="6" t="inlineStr">
        <is>
          <t>USB-C Hub</t>
        </is>
      </c>
      <c r="C10" s="5" t="inlineStr">
        <is>
          <t>Tools</t>
        </is>
      </c>
      <c r="D10" s="19" t="n">
        <v>919</v>
      </c>
      <c r="E10" s="8" t="n">
        <v>286.06</v>
      </c>
      <c r="F10" s="8">
        <f>D10*E10</f>
        <v/>
      </c>
      <c r="G10" s="7">
        <f>G9+(F10/$F$51)</f>
        <v/>
      </c>
      <c r="H10" s="5">
        <f>IF(G10&lt;=0.80, "A", IF(G10&lt;=0.95, "B", "C"))</f>
        <v/>
      </c>
      <c r="I10" s="5" t="n">
        <v>5</v>
      </c>
      <c r="J10" s="20">
        <f>D10/365</f>
        <v/>
      </c>
      <c r="K10" s="5">
        <f>IF(H10="A", 5, IF(H10="B", 3, 2))</f>
        <v/>
      </c>
      <c r="L10" s="19">
        <f>ROUNDUP(J10*K10, 0)</f>
        <v/>
      </c>
      <c r="M10" s="19">
        <f>ROUNDUP((J10*I10)+L10, 0)</f>
        <v/>
      </c>
    </row>
    <row r="11">
      <c r="A11" s="5" t="inlineStr">
        <is>
          <t>SKU-005</t>
        </is>
      </c>
      <c r="B11" s="6" t="inlineStr">
        <is>
          <t>External SSD 1TB</t>
        </is>
      </c>
      <c r="C11" s="5" t="inlineStr">
        <is>
          <t>Packaging</t>
        </is>
      </c>
      <c r="D11" s="19" t="n">
        <v>1334</v>
      </c>
      <c r="E11" s="8" t="n">
        <v>189.98</v>
      </c>
      <c r="F11" s="8">
        <f>D11*E11</f>
        <v/>
      </c>
      <c r="G11" s="7">
        <f>G10+(F11/$F$51)</f>
        <v/>
      </c>
      <c r="H11" s="5">
        <f>IF(G11&lt;=0.80, "A", IF(G11&lt;=0.95, "B", "C"))</f>
        <v/>
      </c>
      <c r="I11" s="5" t="n">
        <v>14</v>
      </c>
      <c r="J11" s="20">
        <f>D11/365</f>
        <v/>
      </c>
      <c r="K11" s="5">
        <f>IF(H11="A", 5, IF(H11="B", 3, 2))</f>
        <v/>
      </c>
      <c r="L11" s="19">
        <f>ROUNDUP(J11*K11, 0)</f>
        <v/>
      </c>
      <c r="M11" s="19">
        <f>ROUNDUP((J11*I11)+L11, 0)</f>
        <v/>
      </c>
    </row>
    <row r="12">
      <c r="A12" s="5" t="inlineStr">
        <is>
          <t>SKU-021</t>
        </is>
      </c>
      <c r="B12" s="6" t="inlineStr">
        <is>
          <t>Digital Caliper</t>
        </is>
      </c>
      <c r="C12" s="5" t="inlineStr">
        <is>
          <t>Electronics</t>
        </is>
      </c>
      <c r="D12" s="19" t="n">
        <v>2718</v>
      </c>
      <c r="E12" s="8" t="n">
        <v>91.78</v>
      </c>
      <c r="F12" s="8">
        <f>D12*E12</f>
        <v/>
      </c>
      <c r="G12" s="7">
        <f>G11+(F12/$F$51)</f>
        <v/>
      </c>
      <c r="H12" s="5">
        <f>IF(G12&lt;=0.80, "A", IF(G12&lt;=0.95, "B", "C"))</f>
        <v/>
      </c>
      <c r="I12" s="5" t="n">
        <v>10</v>
      </c>
      <c r="J12" s="20">
        <f>D12/365</f>
        <v/>
      </c>
      <c r="K12" s="5">
        <f>IF(H12="A", 5, IF(H12="B", 3, 2))</f>
        <v/>
      </c>
      <c r="L12" s="19">
        <f>ROUNDUP(J12*K12, 0)</f>
        <v/>
      </c>
      <c r="M12" s="19">
        <f>ROUNDUP((J12*I12)+L12, 0)</f>
        <v/>
      </c>
    </row>
    <row r="13">
      <c r="A13" s="5" t="inlineStr">
        <is>
          <t>SKU-015</t>
        </is>
      </c>
      <c r="B13" s="6" t="inlineStr">
        <is>
          <t>Hydraulic Oil 5L</t>
        </is>
      </c>
      <c r="C13" s="5" t="inlineStr">
        <is>
          <t>Packaging</t>
        </is>
      </c>
      <c r="D13" s="19" t="n">
        <v>1650</v>
      </c>
      <c r="E13" s="8" t="n">
        <v>107.57</v>
      </c>
      <c r="F13" s="8">
        <f>D13*E13</f>
        <v/>
      </c>
      <c r="G13" s="7">
        <f>G12+(F13/$F$51)</f>
        <v/>
      </c>
      <c r="H13" s="5">
        <f>IF(G13&lt;=0.80, "A", IF(G13&lt;=0.95, "B", "C"))</f>
        <v/>
      </c>
      <c r="I13" s="5" t="n">
        <v>5</v>
      </c>
      <c r="J13" s="20">
        <f>D13/365</f>
        <v/>
      </c>
      <c r="K13" s="5">
        <f>IF(H13="A", 5, IF(H13="B", 3, 2))</f>
        <v/>
      </c>
      <c r="L13" s="19">
        <f>ROUNDUP(J13*K13, 0)</f>
        <v/>
      </c>
      <c r="M13" s="19">
        <f>ROUNDUP((J13*I13)+L13, 0)</f>
        <v/>
      </c>
    </row>
    <row r="14">
      <c r="A14" s="5" t="inlineStr">
        <is>
          <t>SKU-001</t>
        </is>
      </c>
      <c r="B14" s="6" t="inlineStr">
        <is>
          <t>Wireless Mouse</t>
        </is>
      </c>
      <c r="C14" s="5" t="inlineStr">
        <is>
          <t>Packaging</t>
        </is>
      </c>
      <c r="D14" s="19" t="n">
        <v>1010</v>
      </c>
      <c r="E14" s="8" t="n">
        <v>162.19</v>
      </c>
      <c r="F14" s="8">
        <f>D14*E14</f>
        <v/>
      </c>
      <c r="G14" s="7">
        <f>G13+(F14/$F$51)</f>
        <v/>
      </c>
      <c r="H14" s="5">
        <f>IF(G14&lt;=0.80, "A", IF(G14&lt;=0.95, "B", "C"))</f>
        <v/>
      </c>
      <c r="I14" s="5" t="n">
        <v>14</v>
      </c>
      <c r="J14" s="20">
        <f>D14/365</f>
        <v/>
      </c>
      <c r="K14" s="5">
        <f>IF(H14="A", 5, IF(H14="B", 3, 2))</f>
        <v/>
      </c>
      <c r="L14" s="19">
        <f>ROUNDUP(J14*K14, 0)</f>
        <v/>
      </c>
      <c r="M14" s="19">
        <f>ROUNDUP((J14*I14)+L14, 0)</f>
        <v/>
      </c>
    </row>
    <row r="15">
      <c r="A15" s="5" t="inlineStr">
        <is>
          <t>SKU-012</t>
        </is>
      </c>
      <c r="B15" s="6" t="inlineStr">
        <is>
          <t>File Folders (100pk)</t>
        </is>
      </c>
      <c r="C15" s="5" t="inlineStr">
        <is>
          <t>Packaging</t>
        </is>
      </c>
      <c r="D15" s="19" t="n">
        <v>1628</v>
      </c>
      <c r="E15" s="8" t="n">
        <v>78.8</v>
      </c>
      <c r="F15" s="8">
        <f>D15*E15</f>
        <v/>
      </c>
      <c r="G15" s="7">
        <f>G14+(F15/$F$51)</f>
        <v/>
      </c>
      <c r="H15" s="5">
        <f>IF(G15&lt;=0.80, "A", IF(G15&lt;=0.95, "B", "C"))</f>
        <v/>
      </c>
      <c r="I15" s="5" t="n">
        <v>7</v>
      </c>
      <c r="J15" s="20">
        <f>D15/365</f>
        <v/>
      </c>
      <c r="K15" s="5">
        <f>IF(H15="A", 5, IF(H15="B", 3, 2))</f>
        <v/>
      </c>
      <c r="L15" s="19">
        <f>ROUNDUP(J15*K15, 0)</f>
        <v/>
      </c>
      <c r="M15" s="19">
        <f>ROUNDUP((J15*I15)+L15, 0)</f>
        <v/>
      </c>
    </row>
    <row r="16">
      <c r="A16" s="5" t="inlineStr">
        <is>
          <t>SKU-017</t>
        </is>
      </c>
      <c r="B16" s="6" t="inlineStr">
        <is>
          <t>High-Vis Vest</t>
        </is>
      </c>
      <c r="C16" s="5" t="inlineStr">
        <is>
          <t>Packaging</t>
        </is>
      </c>
      <c r="D16" s="19" t="n">
        <v>1166</v>
      </c>
      <c r="E16" s="8" t="n">
        <v>106.89</v>
      </c>
      <c r="F16" s="8">
        <f>D16*E16</f>
        <v/>
      </c>
      <c r="G16" s="7">
        <f>G15+(F16/$F$51)</f>
        <v/>
      </c>
      <c r="H16" s="5">
        <f>IF(G16&lt;=0.80, "A", IF(G16&lt;=0.95, "B", "C"))</f>
        <v/>
      </c>
      <c r="I16" s="5" t="n">
        <v>14</v>
      </c>
      <c r="J16" s="20">
        <f>D16/365</f>
        <v/>
      </c>
      <c r="K16" s="5">
        <f>IF(H16="A", 5, IF(H16="B", 3, 2))</f>
        <v/>
      </c>
      <c r="L16" s="19">
        <f>ROUNDUP(J16*K16, 0)</f>
        <v/>
      </c>
      <c r="M16" s="19">
        <f>ROUNDUP((J16*I16)+L16, 0)</f>
        <v/>
      </c>
    </row>
    <row r="17">
      <c r="A17" s="5" t="inlineStr">
        <is>
          <t>SKU-013</t>
        </is>
      </c>
      <c r="B17" s="6" t="inlineStr">
        <is>
          <t>Industrial Bearing A</t>
        </is>
      </c>
      <c r="C17" s="5" t="inlineStr">
        <is>
          <t>Electronics</t>
        </is>
      </c>
      <c r="D17" s="19" t="n">
        <v>2105</v>
      </c>
      <c r="E17" s="8" t="n">
        <v>44.58</v>
      </c>
      <c r="F17" s="8">
        <f>D17*E17</f>
        <v/>
      </c>
      <c r="G17" s="7">
        <f>G16+(F17/$F$51)</f>
        <v/>
      </c>
      <c r="H17" s="5">
        <f>IF(G17&lt;=0.80, "A", IF(G17&lt;=0.95, "B", "C"))</f>
        <v/>
      </c>
      <c r="I17" s="5" t="n">
        <v>10</v>
      </c>
      <c r="J17" s="20">
        <f>D17/365</f>
        <v/>
      </c>
      <c r="K17" s="5">
        <f>IF(H17="A", 5, IF(H17="B", 3, 2))</f>
        <v/>
      </c>
      <c r="L17" s="19">
        <f>ROUNDUP(J17*K17, 0)</f>
        <v/>
      </c>
      <c r="M17" s="19">
        <f>ROUNDUP((J17*I17)+L17, 0)</f>
        <v/>
      </c>
    </row>
    <row r="18">
      <c r="A18" s="5" t="inlineStr">
        <is>
          <t>SKU-011</t>
        </is>
      </c>
      <c r="B18" s="6" t="inlineStr">
        <is>
          <t>Heavy Duty Stapler</t>
        </is>
      </c>
      <c r="C18" s="5" t="inlineStr">
        <is>
          <t>Office Supplies</t>
        </is>
      </c>
      <c r="D18" s="19" t="n">
        <v>2974</v>
      </c>
      <c r="E18" s="8" t="n">
        <v>31.28</v>
      </c>
      <c r="F18" s="8">
        <f>D18*E18</f>
        <v/>
      </c>
      <c r="G18" s="7">
        <f>G17+(F18/$F$51)</f>
        <v/>
      </c>
      <c r="H18" s="5">
        <f>IF(G18&lt;=0.80, "A", IF(G18&lt;=0.95, "B", "C"))</f>
        <v/>
      </c>
      <c r="I18" s="5" t="n">
        <v>5</v>
      </c>
      <c r="J18" s="20">
        <f>D18/365</f>
        <v/>
      </c>
      <c r="K18" s="5">
        <f>IF(H18="A", 5, IF(H18="B", 3, 2))</f>
        <v/>
      </c>
      <c r="L18" s="19">
        <f>ROUNDUP(J18*K18, 0)</f>
        <v/>
      </c>
      <c r="M18" s="19">
        <f>ROUNDUP((J18*I18)+L18, 0)</f>
        <v/>
      </c>
    </row>
    <row r="19">
      <c r="A19" s="5" t="inlineStr">
        <is>
          <t>SKU-002</t>
        </is>
      </c>
      <c r="B19" s="6" t="inlineStr">
        <is>
          <t>Mechanical Keyboard</t>
        </is>
      </c>
      <c r="C19" s="5" t="inlineStr">
        <is>
          <t>Tools</t>
        </is>
      </c>
      <c r="D19" s="19" t="n">
        <v>616</v>
      </c>
      <c r="E19" s="8" t="n">
        <v>142.99</v>
      </c>
      <c r="F19" s="8">
        <f>D19*E19</f>
        <v/>
      </c>
      <c r="G19" s="7">
        <f>G18+(F19/$F$51)</f>
        <v/>
      </c>
      <c r="H19" s="5">
        <f>IF(G19&lt;=0.80, "A", IF(G19&lt;=0.95, "B", "C"))</f>
        <v/>
      </c>
      <c r="I19" s="5" t="n">
        <v>7</v>
      </c>
      <c r="J19" s="20">
        <f>D19/365</f>
        <v/>
      </c>
      <c r="K19" s="5">
        <f>IF(H19="A", 5, IF(H19="B", 3, 2))</f>
        <v/>
      </c>
      <c r="L19" s="19">
        <f>ROUNDUP(J19*K19, 0)</f>
        <v/>
      </c>
      <c r="M19" s="19">
        <f>ROUNDUP((J19*I19)+L19, 0)</f>
        <v/>
      </c>
    </row>
    <row r="20">
      <c r="A20" s="5" t="inlineStr">
        <is>
          <t>SKU-033</t>
        </is>
      </c>
      <c r="B20" s="6" t="inlineStr">
        <is>
          <t>Sticky Notes Pack</t>
        </is>
      </c>
      <c r="C20" s="5" t="inlineStr">
        <is>
          <t>Tools</t>
        </is>
      </c>
      <c r="D20" s="19" t="n">
        <v>5429</v>
      </c>
      <c r="E20" s="8" t="n">
        <v>15.77</v>
      </c>
      <c r="F20" s="8">
        <f>D20*E20</f>
        <v/>
      </c>
      <c r="G20" s="7">
        <f>G19+(F20/$F$51)</f>
        <v/>
      </c>
      <c r="H20" s="5">
        <f>IF(G20&lt;=0.80, "A", IF(G20&lt;=0.95, "B", "C"))</f>
        <v/>
      </c>
      <c r="I20" s="5" t="n">
        <v>7</v>
      </c>
      <c r="J20" s="20">
        <f>D20/365</f>
        <v/>
      </c>
      <c r="K20" s="5">
        <f>IF(H20="A", 5, IF(H20="B", 3, 2))</f>
        <v/>
      </c>
      <c r="L20" s="19">
        <f>ROUNDUP(J20*K20, 0)</f>
        <v/>
      </c>
      <c r="M20" s="19">
        <f>ROUNDUP((J20*I20)+L20, 0)</f>
        <v/>
      </c>
    </row>
    <row r="21">
      <c r="A21" s="5" t="inlineStr">
        <is>
          <t>SKU-014</t>
        </is>
      </c>
      <c r="B21" s="6" t="inlineStr">
        <is>
          <t>Steel Bolt M8</t>
        </is>
      </c>
      <c r="C21" s="5" t="inlineStr">
        <is>
          <t>Office Supplies</t>
        </is>
      </c>
      <c r="D21" s="19" t="n">
        <v>1171</v>
      </c>
      <c r="E21" s="8" t="n">
        <v>71.61</v>
      </c>
      <c r="F21" s="8">
        <f>D21*E21</f>
        <v/>
      </c>
      <c r="G21" s="7">
        <f>G20+(F21/$F$51)</f>
        <v/>
      </c>
      <c r="H21" s="5">
        <f>IF(G21&lt;=0.80, "A", IF(G21&lt;=0.95, "B", "C"))</f>
        <v/>
      </c>
      <c r="I21" s="5" t="n">
        <v>5</v>
      </c>
      <c r="J21" s="20">
        <f>D21/365</f>
        <v/>
      </c>
      <c r="K21" s="5">
        <f>IF(H21="A", 5, IF(H21="B", 3, 2))</f>
        <v/>
      </c>
      <c r="L21" s="19">
        <f>ROUNDUP(J21*K21, 0)</f>
        <v/>
      </c>
      <c r="M21" s="19">
        <f>ROUNDUP((J21*I21)+L21, 0)</f>
        <v/>
      </c>
    </row>
    <row r="22">
      <c r="A22" s="5" t="inlineStr">
        <is>
          <t>SKU-047</t>
        </is>
      </c>
      <c r="B22" s="6" t="inlineStr">
        <is>
          <t>First Aid Kit</t>
        </is>
      </c>
      <c r="C22" s="5" t="inlineStr">
        <is>
          <t>Packaging</t>
        </is>
      </c>
      <c r="D22" s="19" t="n">
        <v>2927</v>
      </c>
      <c r="E22" s="8" t="n">
        <v>24.67</v>
      </c>
      <c r="F22" s="8">
        <f>D22*E22</f>
        <v/>
      </c>
      <c r="G22" s="7">
        <f>G21+(F22/$F$51)</f>
        <v/>
      </c>
      <c r="H22" s="5">
        <f>IF(G22&lt;=0.80, "A", IF(G22&lt;=0.95, "B", "C"))</f>
        <v/>
      </c>
      <c r="I22" s="5" t="n">
        <v>10</v>
      </c>
      <c r="J22" s="20">
        <f>D22/365</f>
        <v/>
      </c>
      <c r="K22" s="5">
        <f>IF(H22="A", 5, IF(H22="B", 3, 2))</f>
        <v/>
      </c>
      <c r="L22" s="19">
        <f>ROUNDUP(J22*K22, 0)</f>
        <v/>
      </c>
      <c r="M22" s="19">
        <f>ROUNDUP((J22*I22)+L22, 0)</f>
        <v/>
      </c>
    </row>
    <row r="23">
      <c r="A23" s="5" t="inlineStr">
        <is>
          <t>SKU-031</t>
        </is>
      </c>
      <c r="B23" s="6" t="inlineStr">
        <is>
          <t>Desk Lamp LED</t>
        </is>
      </c>
      <c r="C23" s="5" t="inlineStr">
        <is>
          <t>Packaging</t>
        </is>
      </c>
      <c r="D23" s="19" t="n">
        <v>5266</v>
      </c>
      <c r="E23" s="8" t="n">
        <v>13.7</v>
      </c>
      <c r="F23" s="8">
        <f>D23*E23</f>
        <v/>
      </c>
      <c r="G23" s="7">
        <f>G22+(F23/$F$51)</f>
        <v/>
      </c>
      <c r="H23" s="5">
        <f>IF(G23&lt;=0.80, "A", IF(G23&lt;=0.95, "B", "C"))</f>
        <v/>
      </c>
      <c r="I23" s="5" t="n">
        <v>14</v>
      </c>
      <c r="J23" s="20">
        <f>D23/365</f>
        <v/>
      </c>
      <c r="K23" s="5">
        <f>IF(H23="A", 5, IF(H23="B", 3, 2))</f>
        <v/>
      </c>
      <c r="L23" s="19">
        <f>ROUNDUP(J23*K23, 0)</f>
        <v/>
      </c>
      <c r="M23" s="19">
        <f>ROUNDUP((J23*I23)+L23, 0)</f>
        <v/>
      </c>
    </row>
    <row r="24">
      <c r="A24" s="5" t="inlineStr">
        <is>
          <t>SKU-046</t>
        </is>
      </c>
      <c r="B24" s="6" t="inlineStr">
        <is>
          <t>Dust Mask N95</t>
        </is>
      </c>
      <c r="C24" s="5" t="inlineStr">
        <is>
          <t>Tools</t>
        </is>
      </c>
      <c r="D24" s="19" t="n">
        <v>3624</v>
      </c>
      <c r="E24" s="8" t="n">
        <v>17.66</v>
      </c>
      <c r="F24" s="8">
        <f>D24*E24</f>
        <v/>
      </c>
      <c r="G24" s="7">
        <f>G23+(F24/$F$51)</f>
        <v/>
      </c>
      <c r="H24" s="5">
        <f>IF(G24&lt;=0.80, "A", IF(G24&lt;=0.95, "B", "C"))</f>
        <v/>
      </c>
      <c r="I24" s="5" t="n">
        <v>14</v>
      </c>
      <c r="J24" s="20">
        <f>D24/365</f>
        <v/>
      </c>
      <c r="K24" s="5">
        <f>IF(H24="A", 5, IF(H24="B", 3, 2))</f>
        <v/>
      </c>
      <c r="L24" s="19">
        <f>ROUNDUP(J24*K24, 0)</f>
        <v/>
      </c>
      <c r="M24" s="19">
        <f>ROUNDUP((J24*I24)+L24, 0)</f>
        <v/>
      </c>
    </row>
    <row r="25">
      <c r="A25" s="5" t="inlineStr">
        <is>
          <t>SKU-045</t>
        </is>
      </c>
      <c r="B25" s="6" t="inlineStr">
        <is>
          <t>Abrasive Discs</t>
        </is>
      </c>
      <c r="C25" s="5" t="inlineStr">
        <is>
          <t>Industrial Parts</t>
        </is>
      </c>
      <c r="D25" s="19" t="n">
        <v>2310</v>
      </c>
      <c r="E25" s="8" t="n">
        <v>24.46</v>
      </c>
      <c r="F25" s="8">
        <f>D25*E25</f>
        <v/>
      </c>
      <c r="G25" s="7">
        <f>G24+(F25/$F$51)</f>
        <v/>
      </c>
      <c r="H25" s="5">
        <f>IF(G25&lt;=0.80, "A", IF(G25&lt;=0.95, "B", "C"))</f>
        <v/>
      </c>
      <c r="I25" s="5" t="n">
        <v>10</v>
      </c>
      <c r="J25" s="20">
        <f>D25/365</f>
        <v/>
      </c>
      <c r="K25" s="5">
        <f>IF(H25="A", 5, IF(H25="B", 3, 2))</f>
        <v/>
      </c>
      <c r="L25" s="19">
        <f>ROUNDUP(J25*K25, 0)</f>
        <v/>
      </c>
      <c r="M25" s="19">
        <f>ROUNDUP((J25*I25)+L25, 0)</f>
        <v/>
      </c>
    </row>
    <row r="26">
      <c r="A26" s="5" t="inlineStr">
        <is>
          <t>SKU-027</t>
        </is>
      </c>
      <c r="B26" s="6" t="inlineStr">
        <is>
          <t>Ethernet Cable 5m</t>
        </is>
      </c>
      <c r="C26" s="5" t="inlineStr">
        <is>
          <t>Industrial Parts</t>
        </is>
      </c>
      <c r="D26" s="19" t="n">
        <v>5206</v>
      </c>
      <c r="E26" s="8" t="n">
        <v>10.81</v>
      </c>
      <c r="F26" s="8">
        <f>D26*E26</f>
        <v/>
      </c>
      <c r="G26" s="7">
        <f>G25+(F26/$F$51)</f>
        <v/>
      </c>
      <c r="H26" s="5">
        <f>IF(G26&lt;=0.80, "A", IF(G26&lt;=0.95, "B", "C"))</f>
        <v/>
      </c>
      <c r="I26" s="5" t="n">
        <v>7</v>
      </c>
      <c r="J26" s="20">
        <f>D26/365</f>
        <v/>
      </c>
      <c r="K26" s="5">
        <f>IF(H26="A", 5, IF(H26="B", 3, 2))</f>
        <v/>
      </c>
      <c r="L26" s="19">
        <f>ROUNDUP(J26*K26, 0)</f>
        <v/>
      </c>
      <c r="M26" s="19">
        <f>ROUNDUP((J26*I26)+L26, 0)</f>
        <v/>
      </c>
    </row>
    <row r="27">
      <c r="A27" s="5" t="inlineStr">
        <is>
          <t>SKU-037</t>
        </is>
      </c>
      <c r="B27" s="6" t="inlineStr">
        <is>
          <t>Measuring Tape 5m</t>
        </is>
      </c>
      <c r="C27" s="5" t="inlineStr">
        <is>
          <t>Office Supplies</t>
        </is>
      </c>
      <c r="D27" s="19" t="n">
        <v>2188</v>
      </c>
      <c r="E27" s="8" t="n">
        <v>22.61</v>
      </c>
      <c r="F27" s="8">
        <f>D27*E27</f>
        <v/>
      </c>
      <c r="G27" s="7">
        <f>G26+(F27/$F$51)</f>
        <v/>
      </c>
      <c r="H27" s="5">
        <f>IF(G27&lt;=0.80, "A", IF(G27&lt;=0.95, "B", "C"))</f>
        <v/>
      </c>
      <c r="I27" s="5" t="n">
        <v>3</v>
      </c>
      <c r="J27" s="20">
        <f>D27/365</f>
        <v/>
      </c>
      <c r="K27" s="5">
        <f>IF(H27="A", 5, IF(H27="B", 3, 2))</f>
        <v/>
      </c>
      <c r="L27" s="19">
        <f>ROUNDUP(J27*K27, 0)</f>
        <v/>
      </c>
      <c r="M27" s="19">
        <f>ROUNDUP((J27*I27)+L27, 0)</f>
        <v/>
      </c>
    </row>
    <row r="28">
      <c r="A28" s="5" t="inlineStr">
        <is>
          <t>SKU-026</t>
        </is>
      </c>
      <c r="B28" s="6" t="inlineStr">
        <is>
          <t>HDMI Cable 2m</t>
        </is>
      </c>
      <c r="C28" s="5" t="inlineStr">
        <is>
          <t>Industrial Parts</t>
        </is>
      </c>
      <c r="D28" s="19" t="n">
        <v>2881</v>
      </c>
      <c r="E28" s="8" t="n">
        <v>16.66</v>
      </c>
      <c r="F28" s="8">
        <f>D28*E28</f>
        <v/>
      </c>
      <c r="G28" s="7">
        <f>G27+(F28/$F$51)</f>
        <v/>
      </c>
      <c r="H28" s="5">
        <f>IF(G28&lt;=0.80, "A", IF(G28&lt;=0.95, "B", "C"))</f>
        <v/>
      </c>
      <c r="I28" s="5" t="n">
        <v>7</v>
      </c>
      <c r="J28" s="20">
        <f>D28/365</f>
        <v/>
      </c>
      <c r="K28" s="5">
        <f>IF(H28="A", 5, IF(H28="B", 3, 2))</f>
        <v/>
      </c>
      <c r="L28" s="19">
        <f>ROUNDUP(J28*K28, 0)</f>
        <v/>
      </c>
      <c r="M28" s="19">
        <f>ROUNDUP((J28*I28)+L28, 0)</f>
        <v/>
      </c>
    </row>
    <row r="29">
      <c r="A29" s="5" t="inlineStr">
        <is>
          <t>SKU-022</t>
        </is>
      </c>
      <c r="B29" s="6" t="inlineStr">
        <is>
          <t>Cordless Drill</t>
        </is>
      </c>
      <c r="C29" s="5" t="inlineStr">
        <is>
          <t>Industrial Parts</t>
        </is>
      </c>
      <c r="D29" s="19" t="n">
        <v>541</v>
      </c>
      <c r="E29" s="8" t="n">
        <v>88.31999999999999</v>
      </c>
      <c r="F29" s="8">
        <f>D29*E29</f>
        <v/>
      </c>
      <c r="G29" s="7">
        <f>G28+(F29/$F$51)</f>
        <v/>
      </c>
      <c r="H29" s="5">
        <f>IF(G29&lt;=0.80, "A", IF(G29&lt;=0.95, "B", "C"))</f>
        <v/>
      </c>
      <c r="I29" s="5" t="n">
        <v>3</v>
      </c>
      <c r="J29" s="20">
        <f>D29/365</f>
        <v/>
      </c>
      <c r="K29" s="5">
        <f>IF(H29="A", 5, IF(H29="B", 3, 2))</f>
        <v/>
      </c>
      <c r="L29" s="19">
        <f>ROUNDUP(J29*K29, 0)</f>
        <v/>
      </c>
      <c r="M29" s="19">
        <f>ROUNDUP((J29*I29)+L29, 0)</f>
        <v/>
      </c>
    </row>
    <row r="30">
      <c r="A30" s="5" t="inlineStr">
        <is>
          <t>SKU-034</t>
        </is>
      </c>
      <c r="B30" s="6" t="inlineStr">
        <is>
          <t>Permanent Markers</t>
        </is>
      </c>
      <c r="C30" s="5" t="inlineStr">
        <is>
          <t>Packaging</t>
        </is>
      </c>
      <c r="D30" s="19" t="n">
        <v>2775</v>
      </c>
      <c r="E30" s="8" t="n">
        <v>16.36</v>
      </c>
      <c r="F30" s="8">
        <f>D30*E30</f>
        <v/>
      </c>
      <c r="G30" s="7">
        <f>G29+(F30/$F$51)</f>
        <v/>
      </c>
      <c r="H30" s="5">
        <f>IF(G30&lt;=0.80, "A", IF(G30&lt;=0.95, "B", "C"))</f>
        <v/>
      </c>
      <c r="I30" s="5" t="n">
        <v>3</v>
      </c>
      <c r="J30" s="20">
        <f>D30/365</f>
        <v/>
      </c>
      <c r="K30" s="5">
        <f>IF(H30="A", 5, IF(H30="B", 3, 2))</f>
        <v/>
      </c>
      <c r="L30" s="19">
        <f>ROUNDUP(J30*K30, 0)</f>
        <v/>
      </c>
      <c r="M30" s="19">
        <f>ROUNDUP((J30*I30)+L30, 0)</f>
        <v/>
      </c>
    </row>
    <row r="31">
      <c r="A31" s="5" t="inlineStr">
        <is>
          <t>SKU-025</t>
        </is>
      </c>
      <c r="B31" s="6" t="inlineStr">
        <is>
          <t>Safety Helmet</t>
        </is>
      </c>
      <c r="C31" s="5" t="inlineStr">
        <is>
          <t>Electronics</t>
        </is>
      </c>
      <c r="D31" s="19" t="n">
        <v>4748</v>
      </c>
      <c r="E31" s="8" t="n">
        <v>9.15</v>
      </c>
      <c r="F31" s="8">
        <f>D31*E31</f>
        <v/>
      </c>
      <c r="G31" s="7">
        <f>G30+(F31/$F$51)</f>
        <v/>
      </c>
      <c r="H31" s="5">
        <f>IF(G31&lt;=0.80, "A", IF(G31&lt;=0.95, "B", "C"))</f>
        <v/>
      </c>
      <c r="I31" s="5" t="n">
        <v>14</v>
      </c>
      <c r="J31" s="20">
        <f>D31/365</f>
        <v/>
      </c>
      <c r="K31" s="5">
        <f>IF(H31="A", 5, IF(H31="B", 3, 2))</f>
        <v/>
      </c>
      <c r="L31" s="19">
        <f>ROUNDUP(J31*K31, 0)</f>
        <v/>
      </c>
      <c r="M31" s="19">
        <f>ROUNDUP((J31*I31)+L31, 0)</f>
        <v/>
      </c>
    </row>
    <row r="32">
      <c r="A32" s="5" t="inlineStr">
        <is>
          <t>SKU-042</t>
        </is>
      </c>
      <c r="B32" s="6" t="inlineStr">
        <is>
          <t>Extension Cord 10m</t>
        </is>
      </c>
      <c r="C32" s="5" t="inlineStr">
        <is>
          <t>Electronics</t>
        </is>
      </c>
      <c r="D32" s="19" t="n">
        <v>3913</v>
      </c>
      <c r="E32" s="8" t="n">
        <v>10.36</v>
      </c>
      <c r="F32" s="8">
        <f>D32*E32</f>
        <v/>
      </c>
      <c r="G32" s="7">
        <f>G31+(F32/$F$51)</f>
        <v/>
      </c>
      <c r="H32" s="5">
        <f>IF(G32&lt;=0.80, "A", IF(G32&lt;=0.95, "B", "C"))</f>
        <v/>
      </c>
      <c r="I32" s="5" t="n">
        <v>3</v>
      </c>
      <c r="J32" s="20">
        <f>D32/365</f>
        <v/>
      </c>
      <c r="K32" s="5">
        <f>IF(H32="A", 5, IF(H32="B", 3, 2))</f>
        <v/>
      </c>
      <c r="L32" s="19">
        <f>ROUNDUP(J32*K32, 0)</f>
        <v/>
      </c>
      <c r="M32" s="19">
        <f>ROUNDUP((J32*I32)+L32, 0)</f>
        <v/>
      </c>
    </row>
    <row r="33">
      <c r="A33" s="5" t="inlineStr">
        <is>
          <t>SKU-023</t>
        </is>
      </c>
      <c r="B33" s="6" t="inlineStr">
        <is>
          <t>Multimeter Pro</t>
        </is>
      </c>
      <c r="C33" s="5" t="inlineStr">
        <is>
          <t>Industrial Parts</t>
        </is>
      </c>
      <c r="D33" s="19" t="n">
        <v>3711</v>
      </c>
      <c r="E33" s="8" t="n">
        <v>10.24</v>
      </c>
      <c r="F33" s="8">
        <f>D33*E33</f>
        <v/>
      </c>
      <c r="G33" s="7">
        <f>G32+(F33/$F$51)</f>
        <v/>
      </c>
      <c r="H33" s="5">
        <f>IF(G33&lt;=0.80, "A", IF(G33&lt;=0.95, "B", "C"))</f>
        <v/>
      </c>
      <c r="I33" s="5" t="n">
        <v>3</v>
      </c>
      <c r="J33" s="20">
        <f>D33/365</f>
        <v/>
      </c>
      <c r="K33" s="5">
        <f>IF(H33="A", 5, IF(H33="B", 3, 2))</f>
        <v/>
      </c>
      <c r="L33" s="19">
        <f>ROUNDUP(J33*K33, 0)</f>
        <v/>
      </c>
      <c r="M33" s="19">
        <f>ROUNDUP((J33*I33)+L33, 0)</f>
        <v/>
      </c>
    </row>
    <row r="34">
      <c r="A34" s="5" t="inlineStr">
        <is>
          <t>SKU-041</t>
        </is>
      </c>
      <c r="B34" s="6" t="inlineStr">
        <is>
          <t>LED Floodlight</t>
        </is>
      </c>
      <c r="C34" s="5" t="inlineStr">
        <is>
          <t>Office Supplies</t>
        </is>
      </c>
      <c r="D34" s="19" t="n">
        <v>4929</v>
      </c>
      <c r="E34" s="8" t="n">
        <v>7.61</v>
      </c>
      <c r="F34" s="8">
        <f>D34*E34</f>
        <v/>
      </c>
      <c r="G34" s="7">
        <f>G33+(F34/$F$51)</f>
        <v/>
      </c>
      <c r="H34" s="5">
        <f>IF(G34&lt;=0.80, "A", IF(G34&lt;=0.95, "B", "C"))</f>
        <v/>
      </c>
      <c r="I34" s="5" t="n">
        <v>7</v>
      </c>
      <c r="J34" s="20">
        <f>D34/365</f>
        <v/>
      </c>
      <c r="K34" s="5">
        <f>IF(H34="A", 5, IF(H34="B", 3, 2))</f>
        <v/>
      </c>
      <c r="L34" s="19">
        <f>ROUNDUP(J34*K34, 0)</f>
        <v/>
      </c>
      <c r="M34" s="19">
        <f>ROUNDUP((J34*I34)+L34, 0)</f>
        <v/>
      </c>
    </row>
    <row r="35">
      <c r="A35" s="5" t="inlineStr">
        <is>
          <t>SKU-043</t>
        </is>
      </c>
      <c r="B35" s="6" t="inlineStr">
        <is>
          <t>Padlock Steel</t>
        </is>
      </c>
      <c r="C35" s="5" t="inlineStr">
        <is>
          <t>Office Supplies</t>
        </is>
      </c>
      <c r="D35" s="19" t="n">
        <v>4809</v>
      </c>
      <c r="E35" s="8" t="n">
        <v>7.68</v>
      </c>
      <c r="F35" s="8">
        <f>D35*E35</f>
        <v/>
      </c>
      <c r="G35" s="7">
        <f>G34+(F35/$F$51)</f>
        <v/>
      </c>
      <c r="H35" s="5">
        <f>IF(G35&lt;=0.80, "A", IF(G35&lt;=0.95, "B", "C"))</f>
        <v/>
      </c>
      <c r="I35" s="5" t="n">
        <v>5</v>
      </c>
      <c r="J35" s="20">
        <f>D35/365</f>
        <v/>
      </c>
      <c r="K35" s="5">
        <f>IF(H35="A", 5, IF(H35="B", 3, 2))</f>
        <v/>
      </c>
      <c r="L35" s="19">
        <f>ROUNDUP(J35*K35, 0)</f>
        <v/>
      </c>
      <c r="M35" s="19">
        <f>ROUNDUP((J35*I35)+L35, 0)</f>
        <v/>
      </c>
    </row>
    <row r="36">
      <c r="A36" s="5" t="inlineStr">
        <is>
          <t>SKU-018</t>
        </is>
      </c>
      <c r="B36" s="6" t="inlineStr">
        <is>
          <t>Cardboard Box Medium</t>
        </is>
      </c>
      <c r="C36" s="5" t="inlineStr">
        <is>
          <t>Tools</t>
        </is>
      </c>
      <c r="D36" s="19" t="n">
        <v>487</v>
      </c>
      <c r="E36" s="8" t="n">
        <v>73.18000000000001</v>
      </c>
      <c r="F36" s="8">
        <f>D36*E36</f>
        <v/>
      </c>
      <c r="G36" s="7">
        <f>G35+(F36/$F$51)</f>
        <v/>
      </c>
      <c r="H36" s="5">
        <f>IF(G36&lt;=0.80, "A", IF(G36&lt;=0.95, "B", "C"))</f>
        <v/>
      </c>
      <c r="I36" s="5" t="n">
        <v>5</v>
      </c>
      <c r="J36" s="20">
        <f>D36/365</f>
        <v/>
      </c>
      <c r="K36" s="5">
        <f>IF(H36="A", 5, IF(H36="B", 3, 2))</f>
        <v/>
      </c>
      <c r="L36" s="19">
        <f>ROUNDUP(J36*K36, 0)</f>
        <v/>
      </c>
      <c r="M36" s="19">
        <f>ROUNDUP((J36*I36)+L36, 0)</f>
        <v/>
      </c>
    </row>
    <row r="37">
      <c r="A37" s="5" t="inlineStr">
        <is>
          <t>SKU-035</t>
        </is>
      </c>
      <c r="B37" s="6" t="inlineStr">
        <is>
          <t>Scissors Heavy Duty</t>
        </is>
      </c>
      <c r="C37" s="5" t="inlineStr">
        <is>
          <t>Tools</t>
        </is>
      </c>
      <c r="D37" s="19" t="n">
        <v>2843</v>
      </c>
      <c r="E37" s="8" t="n">
        <v>12.5</v>
      </c>
      <c r="F37" s="8">
        <f>D37*E37</f>
        <v/>
      </c>
      <c r="G37" s="7">
        <f>G36+(F37/$F$51)</f>
        <v/>
      </c>
      <c r="H37" s="5">
        <f>IF(G37&lt;=0.80, "A", IF(G37&lt;=0.95, "B", "C"))</f>
        <v/>
      </c>
      <c r="I37" s="5" t="n">
        <v>10</v>
      </c>
      <c r="J37" s="20">
        <f>D37/365</f>
        <v/>
      </c>
      <c r="K37" s="5">
        <f>IF(H37="A", 5, IF(H37="B", 3, 2))</f>
        <v/>
      </c>
      <c r="L37" s="19">
        <f>ROUNDUP(J37*K37, 0)</f>
        <v/>
      </c>
      <c r="M37" s="19">
        <f>ROUNDUP((J37*I37)+L37, 0)</f>
        <v/>
      </c>
    </row>
    <row r="38">
      <c r="A38" s="5" t="inlineStr">
        <is>
          <t>SKU-032</t>
        </is>
      </c>
      <c r="B38" s="6" t="inlineStr">
        <is>
          <t>Document Tray</t>
        </is>
      </c>
      <c r="C38" s="5" t="inlineStr">
        <is>
          <t>Tools</t>
        </is>
      </c>
      <c r="D38" s="19" t="n">
        <v>1828</v>
      </c>
      <c r="E38" s="8" t="n">
        <v>19.38</v>
      </c>
      <c r="F38" s="8">
        <f>D38*E38</f>
        <v/>
      </c>
      <c r="G38" s="7">
        <f>G37+(F38/$F$51)</f>
        <v/>
      </c>
      <c r="H38" s="5">
        <f>IF(G38&lt;=0.80, "A", IF(G38&lt;=0.95, "B", "C"))</f>
        <v/>
      </c>
      <c r="I38" s="5" t="n">
        <v>10</v>
      </c>
      <c r="J38" s="20">
        <f>D38/365</f>
        <v/>
      </c>
      <c r="K38" s="5">
        <f>IF(H38="A", 5, IF(H38="B", 3, 2))</f>
        <v/>
      </c>
      <c r="L38" s="19">
        <f>ROUNDUP(J38*K38, 0)</f>
        <v/>
      </c>
      <c r="M38" s="19">
        <f>ROUNDUP((J38*I38)+L38, 0)</f>
        <v/>
      </c>
    </row>
    <row r="39">
      <c r="A39" s="5" t="inlineStr">
        <is>
          <t>SKU-036</t>
        </is>
      </c>
      <c r="B39" s="6" t="inlineStr">
        <is>
          <t>Cutter Knife</t>
        </is>
      </c>
      <c r="C39" s="5" t="inlineStr">
        <is>
          <t>Packaging</t>
        </is>
      </c>
      <c r="D39" s="19" t="n">
        <v>1513</v>
      </c>
      <c r="E39" s="8" t="n">
        <v>22.53</v>
      </c>
      <c r="F39" s="8">
        <f>D39*E39</f>
        <v/>
      </c>
      <c r="G39" s="7">
        <f>G38+(F39/$F$51)</f>
        <v/>
      </c>
      <c r="H39" s="5">
        <f>IF(G39&lt;=0.80, "A", IF(G39&lt;=0.95, "B", "C"))</f>
        <v/>
      </c>
      <c r="I39" s="5" t="n">
        <v>7</v>
      </c>
      <c r="J39" s="20">
        <f>D39/365</f>
        <v/>
      </c>
      <c r="K39" s="5">
        <f>IF(H39="A", 5, IF(H39="B", 3, 2))</f>
        <v/>
      </c>
      <c r="L39" s="19">
        <f>ROUNDUP(J39*K39, 0)</f>
        <v/>
      </c>
      <c r="M39" s="19">
        <f>ROUNDUP((J39*I39)+L39, 0)</f>
        <v/>
      </c>
    </row>
    <row r="40">
      <c r="A40" s="5" t="inlineStr">
        <is>
          <t>SKU-040</t>
        </is>
      </c>
      <c r="B40" s="6" t="inlineStr">
        <is>
          <t>Warning Tape Roll</t>
        </is>
      </c>
      <c r="C40" s="5" t="inlineStr">
        <is>
          <t>Electronics</t>
        </is>
      </c>
      <c r="D40" s="19" t="n">
        <v>4563</v>
      </c>
      <c r="E40" s="8" t="n">
        <v>7.11</v>
      </c>
      <c r="F40" s="8">
        <f>D40*E40</f>
        <v/>
      </c>
      <c r="G40" s="7">
        <f>G39+(F40/$F$51)</f>
        <v/>
      </c>
      <c r="H40" s="5">
        <f>IF(G40&lt;=0.80, "A", IF(G40&lt;=0.95, "B", "C"))</f>
        <v/>
      </c>
      <c r="I40" s="5" t="n">
        <v>7</v>
      </c>
      <c r="J40" s="20">
        <f>D40/365</f>
        <v/>
      </c>
      <c r="K40" s="5">
        <f>IF(H40="A", 5, IF(H40="B", 3, 2))</f>
        <v/>
      </c>
      <c r="L40" s="19">
        <f>ROUNDUP(J40*K40, 0)</f>
        <v/>
      </c>
      <c r="M40" s="19">
        <f>ROUNDUP((J40*I40)+L40, 0)</f>
        <v/>
      </c>
    </row>
    <row r="41">
      <c r="A41" s="5" t="inlineStr">
        <is>
          <t>SKU-048</t>
        </is>
      </c>
      <c r="B41" s="6" t="inlineStr">
        <is>
          <t>Storage Bin Plastic</t>
        </is>
      </c>
      <c r="C41" s="5" t="inlineStr">
        <is>
          <t>Industrial Parts</t>
        </is>
      </c>
      <c r="D41" s="19" t="n">
        <v>3405</v>
      </c>
      <c r="E41" s="8" t="n">
        <v>7.47</v>
      </c>
      <c r="F41" s="8">
        <f>D41*E41</f>
        <v/>
      </c>
      <c r="G41" s="7">
        <f>G40+(F41/$F$51)</f>
        <v/>
      </c>
      <c r="H41" s="5">
        <f>IF(G41&lt;=0.80, "A", IF(G41&lt;=0.95, "B", "C"))</f>
        <v/>
      </c>
      <c r="I41" s="5" t="n">
        <v>14</v>
      </c>
      <c r="J41" s="20">
        <f>D41/365</f>
        <v/>
      </c>
      <c r="K41" s="5">
        <f>IF(H41="A", 5, IF(H41="B", 3, 2))</f>
        <v/>
      </c>
      <c r="L41" s="19">
        <f>ROUNDUP(J41*K41, 0)</f>
        <v/>
      </c>
      <c r="M41" s="19">
        <f>ROUNDUP((J41*I41)+L41, 0)</f>
        <v/>
      </c>
    </row>
    <row r="42">
      <c r="A42" s="5" t="inlineStr">
        <is>
          <t>SKU-016</t>
        </is>
      </c>
      <c r="B42" s="6" t="inlineStr">
        <is>
          <t>Safety Gloves (Pair)</t>
        </is>
      </c>
      <c r="C42" s="5" t="inlineStr">
        <is>
          <t>Packaging</t>
        </is>
      </c>
      <c r="D42" s="19" t="n">
        <v>311</v>
      </c>
      <c r="E42" s="8" t="n">
        <v>61.61</v>
      </c>
      <c r="F42" s="8">
        <f>D42*E42</f>
        <v/>
      </c>
      <c r="G42" s="7">
        <f>G41+(F42/$F$51)</f>
        <v/>
      </c>
      <c r="H42" s="5">
        <f>IF(G42&lt;=0.80, "A", IF(G42&lt;=0.95, "B", "C"))</f>
        <v/>
      </c>
      <c r="I42" s="5" t="n">
        <v>10</v>
      </c>
      <c r="J42" s="20">
        <f>D42/365</f>
        <v/>
      </c>
      <c r="K42" s="5">
        <f>IF(H42="A", 5, IF(H42="B", 3, 2))</f>
        <v/>
      </c>
      <c r="L42" s="19">
        <f>ROUNDUP(J42*K42, 0)</f>
        <v/>
      </c>
      <c r="M42" s="19">
        <f>ROUNDUP((J42*I42)+L42, 0)</f>
        <v/>
      </c>
    </row>
    <row r="43">
      <c r="A43" s="5" t="inlineStr">
        <is>
          <t>SKU-050</t>
        </is>
      </c>
      <c r="B43" s="6" t="inlineStr">
        <is>
          <t>Label Maker</t>
        </is>
      </c>
      <c r="C43" s="5" t="inlineStr">
        <is>
          <t>Electronics</t>
        </is>
      </c>
      <c r="D43" s="19" t="n">
        <v>1297</v>
      </c>
      <c r="E43" s="8" t="n">
        <v>13.69</v>
      </c>
      <c r="F43" s="8">
        <f>D43*E43</f>
        <v/>
      </c>
      <c r="G43" s="7">
        <f>G42+(F43/$F$51)</f>
        <v/>
      </c>
      <c r="H43" s="5">
        <f>IF(G43&lt;=0.80, "A", IF(G43&lt;=0.95, "B", "C"))</f>
        <v/>
      </c>
      <c r="I43" s="5" t="n">
        <v>14</v>
      </c>
      <c r="J43" s="20">
        <f>D43/365</f>
        <v/>
      </c>
      <c r="K43" s="5">
        <f>IF(H43="A", 5, IF(H43="B", 3, 2))</f>
        <v/>
      </c>
      <c r="L43" s="19">
        <f>ROUNDUP(J43*K43, 0)</f>
        <v/>
      </c>
      <c r="M43" s="19">
        <f>ROUNDUP((J43*I43)+L43, 0)</f>
        <v/>
      </c>
    </row>
    <row r="44">
      <c r="A44" s="5" t="inlineStr">
        <is>
          <t>SKU-028</t>
        </is>
      </c>
      <c r="B44" s="6" t="inlineStr">
        <is>
          <t>Power Strip 6-Outlet</t>
        </is>
      </c>
      <c r="C44" s="5" t="inlineStr">
        <is>
          <t>Electronics</t>
        </is>
      </c>
      <c r="D44" s="19" t="n">
        <v>1178</v>
      </c>
      <c r="E44" s="8" t="n">
        <v>14.91</v>
      </c>
      <c r="F44" s="8">
        <f>D44*E44</f>
        <v/>
      </c>
      <c r="G44" s="7">
        <f>G43+(F44/$F$51)</f>
        <v/>
      </c>
      <c r="H44" s="5">
        <f>IF(G44&lt;=0.80, "A", IF(G44&lt;=0.95, "B", "C"))</f>
        <v/>
      </c>
      <c r="I44" s="5" t="n">
        <v>7</v>
      </c>
      <c r="J44" s="20">
        <f>D44/365</f>
        <v/>
      </c>
      <c r="K44" s="5">
        <f>IF(H44="A", 5, IF(H44="B", 3, 2))</f>
        <v/>
      </c>
      <c r="L44" s="19">
        <f>ROUNDUP(J44*K44, 0)</f>
        <v/>
      </c>
      <c r="M44" s="19">
        <f>ROUNDUP((J44*I44)+L44, 0)</f>
        <v/>
      </c>
    </row>
    <row r="45">
      <c r="A45" s="5" t="inlineStr">
        <is>
          <t>SKU-038</t>
        </is>
      </c>
      <c r="B45" s="6" t="inlineStr">
        <is>
          <t>Tarpaulin Sheet</t>
        </is>
      </c>
      <c r="C45" s="5" t="inlineStr">
        <is>
          <t>Electronics</t>
        </is>
      </c>
      <c r="D45" s="19" t="n">
        <v>1456</v>
      </c>
      <c r="E45" s="8" t="n">
        <v>11.82</v>
      </c>
      <c r="F45" s="8">
        <f>D45*E45</f>
        <v/>
      </c>
      <c r="G45" s="7">
        <f>G44+(F45/$F$51)</f>
        <v/>
      </c>
      <c r="H45" s="5">
        <f>IF(G45&lt;=0.80, "A", IF(G45&lt;=0.95, "B", "C"))</f>
        <v/>
      </c>
      <c r="I45" s="5" t="n">
        <v>10</v>
      </c>
      <c r="J45" s="20">
        <f>D45/365</f>
        <v/>
      </c>
      <c r="K45" s="5">
        <f>IF(H45="A", 5, IF(H45="B", 3, 2))</f>
        <v/>
      </c>
      <c r="L45" s="19">
        <f>ROUNDUP(J45*K45, 0)</f>
        <v/>
      </c>
      <c r="M45" s="19">
        <f>ROUNDUP((J45*I45)+L45, 0)</f>
        <v/>
      </c>
    </row>
    <row r="46">
      <c r="A46" s="5" t="inlineStr">
        <is>
          <t>SKU-044</t>
        </is>
      </c>
      <c r="B46" s="6" t="inlineStr">
        <is>
          <t>Rivet Gun</t>
        </is>
      </c>
      <c r="C46" s="5" t="inlineStr">
        <is>
          <t>Industrial Parts</t>
        </is>
      </c>
      <c r="D46" s="19" t="n">
        <v>1786</v>
      </c>
      <c r="E46" s="8" t="n">
        <v>8.550000000000001</v>
      </c>
      <c r="F46" s="8">
        <f>D46*E46</f>
        <v/>
      </c>
      <c r="G46" s="7">
        <f>G45+(F46/$F$51)</f>
        <v/>
      </c>
      <c r="H46" s="5">
        <f>IF(G46&lt;=0.80, "A", IF(G46&lt;=0.95, "B", "C"))</f>
        <v/>
      </c>
      <c r="I46" s="5" t="n">
        <v>3</v>
      </c>
      <c r="J46" s="20">
        <f>D46/365</f>
        <v/>
      </c>
      <c r="K46" s="5">
        <f>IF(H46="A", 5, IF(H46="B", 3, 2))</f>
        <v/>
      </c>
      <c r="L46" s="19">
        <f>ROUNDUP(J46*K46, 0)</f>
        <v/>
      </c>
      <c r="M46" s="19">
        <f>ROUNDUP((J46*I46)+L46, 0)</f>
        <v/>
      </c>
    </row>
    <row r="47">
      <c r="A47" s="5" t="inlineStr">
        <is>
          <t>SKU-030</t>
        </is>
      </c>
      <c r="B47" s="6" t="inlineStr">
        <is>
          <t>Bluetooth Headset</t>
        </is>
      </c>
      <c r="C47" s="5" t="inlineStr">
        <is>
          <t>Packaging</t>
        </is>
      </c>
      <c r="D47" s="19" t="n">
        <v>1634</v>
      </c>
      <c r="E47" s="8" t="n">
        <v>6.64</v>
      </c>
      <c r="F47" s="8">
        <f>D47*E47</f>
        <v/>
      </c>
      <c r="G47" s="7">
        <f>G46+(F47/$F$51)</f>
        <v/>
      </c>
      <c r="H47" s="5">
        <f>IF(G47&lt;=0.80, "A", IF(G47&lt;=0.95, "B", "C"))</f>
        <v/>
      </c>
      <c r="I47" s="5" t="n">
        <v>3</v>
      </c>
      <c r="J47" s="20">
        <f>D47/365</f>
        <v/>
      </c>
      <c r="K47" s="5">
        <f>IF(H47="A", 5, IF(H47="B", 3, 2))</f>
        <v/>
      </c>
      <c r="L47" s="19">
        <f>ROUNDUP(J47*K47, 0)</f>
        <v/>
      </c>
      <c r="M47" s="19">
        <f>ROUNDUP((J47*I47)+L47, 0)</f>
        <v/>
      </c>
    </row>
    <row r="48">
      <c r="A48" s="5" t="inlineStr">
        <is>
          <t>SKU-024</t>
        </is>
      </c>
      <c r="B48" s="6" t="inlineStr">
        <is>
          <t>Screwdriver Set</t>
        </is>
      </c>
      <c r="C48" s="5" t="inlineStr">
        <is>
          <t>Packaging</t>
        </is>
      </c>
      <c r="D48" s="19" t="n">
        <v>350</v>
      </c>
      <c r="E48" s="8" t="n">
        <v>16.34</v>
      </c>
      <c r="F48" s="8">
        <f>D48*E48</f>
        <v/>
      </c>
      <c r="G48" s="7">
        <f>G47+(F48/$F$51)</f>
        <v/>
      </c>
      <c r="H48" s="5">
        <f>IF(G48&lt;=0.80, "A", IF(G48&lt;=0.95, "B", "C"))</f>
        <v/>
      </c>
      <c r="I48" s="5" t="n">
        <v>5</v>
      </c>
      <c r="J48" s="20">
        <f>D48/365</f>
        <v/>
      </c>
      <c r="K48" s="5">
        <f>IF(H48="A", 5, IF(H48="B", 3, 2))</f>
        <v/>
      </c>
      <c r="L48" s="19">
        <f>ROUNDUP(J48*K48, 0)</f>
        <v/>
      </c>
      <c r="M48" s="19">
        <f>ROUNDUP((J48*I48)+L48, 0)</f>
        <v/>
      </c>
    </row>
    <row r="49">
      <c r="A49" s="5" t="inlineStr">
        <is>
          <t>SKU-029</t>
        </is>
      </c>
      <c r="B49" s="6" t="inlineStr">
        <is>
          <t>Webcam 1080p</t>
        </is>
      </c>
      <c r="C49" s="5" t="inlineStr">
        <is>
          <t>Electronics</t>
        </is>
      </c>
      <c r="D49" s="19" t="n">
        <v>356</v>
      </c>
      <c r="E49" s="8" t="n">
        <v>11.83</v>
      </c>
      <c r="F49" s="8">
        <f>D49*E49</f>
        <v/>
      </c>
      <c r="G49" s="7">
        <f>G48+(F49/$F$51)</f>
        <v/>
      </c>
      <c r="H49" s="5">
        <f>IF(G49&lt;=0.80, "A", IF(G49&lt;=0.95, "B", "C"))</f>
        <v/>
      </c>
      <c r="I49" s="5" t="n">
        <v>5</v>
      </c>
      <c r="J49" s="20">
        <f>D49/365</f>
        <v/>
      </c>
      <c r="K49" s="5">
        <f>IF(H49="A", 5, IF(H49="B", 3, 2))</f>
        <v/>
      </c>
      <c r="L49" s="19">
        <f>ROUNDUP(J49*K49, 0)</f>
        <v/>
      </c>
      <c r="M49" s="19">
        <f>ROUNDUP((J49*I49)+L49, 0)</f>
        <v/>
      </c>
    </row>
    <row r="50">
      <c r="A50" s="5" t="inlineStr">
        <is>
          <t>SKU-049</t>
        </is>
      </c>
      <c r="B50" s="6" t="inlineStr">
        <is>
          <t>Shrink Wrap Roll</t>
        </is>
      </c>
      <c r="C50" s="5" t="inlineStr">
        <is>
          <t>Packaging</t>
        </is>
      </c>
      <c r="D50" s="19" t="n">
        <v>347</v>
      </c>
      <c r="E50" s="8" t="n">
        <v>11.17</v>
      </c>
      <c r="F50" s="8">
        <f>D50*E50</f>
        <v/>
      </c>
      <c r="G50" s="7">
        <f>G49+(F50/$F$51)</f>
        <v/>
      </c>
      <c r="H50" s="5">
        <f>IF(G50&lt;=0.80, "A", IF(G50&lt;=0.95, "B", "C"))</f>
        <v/>
      </c>
      <c r="I50" s="5" t="n">
        <v>3</v>
      </c>
      <c r="J50" s="20">
        <f>D50/365</f>
        <v/>
      </c>
      <c r="K50" s="5">
        <f>IF(H50="A", 5, IF(H50="B", 3, 2))</f>
        <v/>
      </c>
      <c r="L50" s="19">
        <f>ROUNDUP(J50*K50, 0)</f>
        <v/>
      </c>
      <c r="M50" s="19">
        <f>ROUNDUP((J50*I50)+L50, 0)</f>
        <v/>
      </c>
    </row>
    <row r="51">
      <c r="A51" s="5" t="inlineStr">
        <is>
          <t>SKU-039</t>
        </is>
      </c>
      <c r="B51" s="6" t="inlineStr">
        <is>
          <t>Zip Ties (500pk)</t>
        </is>
      </c>
      <c r="C51" s="5" t="inlineStr">
        <is>
          <t>Tools</t>
        </is>
      </c>
      <c r="D51" s="19" t="n">
        <v>1432</v>
      </c>
      <c r="E51" s="8" t="n">
        <v>2.16</v>
      </c>
      <c r="F51" s="8">
        <f>D51*E51</f>
        <v/>
      </c>
      <c r="G51" s="7">
        <f>G50+(F51/$F$51)</f>
        <v/>
      </c>
      <c r="H51" s="5">
        <f>IF(G51&lt;=0.80, "A", IF(G51&lt;=0.95, "B", "C"))</f>
        <v/>
      </c>
      <c r="I51" s="5" t="n">
        <v>7</v>
      </c>
      <c r="J51" s="20">
        <f>D51/365</f>
        <v/>
      </c>
      <c r="K51" s="5">
        <f>IF(H51="A", 5, IF(H51="B", 3, 2))</f>
        <v/>
      </c>
      <c r="L51" s="19">
        <f>ROUNDUP(J51*K51, 0)</f>
        <v/>
      </c>
      <c r="M51" s="19">
        <f>ROUNDUP((J51*I51)+L51, 0)</f>
        <v/>
      </c>
    </row>
    <row r="52">
      <c r="A52" s="10" t="inlineStr">
        <is>
          <t>Total / Average</t>
        </is>
      </c>
      <c r="B52" s="21" t="n"/>
      <c r="C52" s="21" t="n"/>
      <c r="D52" s="22">
        <f>SUM(D2:D51)</f>
        <v/>
      </c>
      <c r="E52" s="21" t="n"/>
      <c r="F52" s="12">
        <f>SUM(F2:F51)</f>
        <v/>
      </c>
      <c r="G52" s="21" t="n"/>
      <c r="H52" s="21" t="n"/>
      <c r="I52" s="21" t="n"/>
      <c r="J52" s="21" t="n"/>
      <c r="K52" s="21" t="n"/>
      <c r="L52" s="21" t="n"/>
      <c r="M52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2026-10-09T11:34:16Z</dcterms:created>
  <dcterms:modified xmlns:dcterms="http://purl.org/dc/terms/" xmlns:xsi="http://www.w3.org/2001/XMLSchema-instance" xsi:type="dcterms:W3CDTF">2026-10-09T11:34:16Z</dcterms:modified>
</cp:coreProperties>
</file>